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tabRatio="345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<sst xmlns="http://schemas.openxmlformats.org/spreadsheetml/2006/main" count="72" uniqueCount="35">
  <si>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CONTROLE DE INVESTIMENTOS</t>
  </si>
  <si>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</si>
  <si>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</si>
  <si>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</si>
  <si>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</si>
  <si>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</si>
  <si>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</si>
  <si>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</si>
  <si>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</si>
  <si>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</si>
  <si>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</si>
  <si>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>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</si>
  <si>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</si>
  <si>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</si>
  <si>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</si>
  <si>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</si>
  <si>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</si>
  <si>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</si>
  <si>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</si>
  <si>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</si>
  <si>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</si>
  <si>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</si>
  <si>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</si>
  <si>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</si>
  <si>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</si>
  <si>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</si>
  <si>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</si>
  <si>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</si>
  <si>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</si>
  <si>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</si>
  <si>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</si>
  <si>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</si>
  <si>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Moderado-TIJOLO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</si>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</sst>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"/>
    <numFmt numFmtId="181" formatCode="&quot;R$&quot;\ #,##0.00;[Red]\-&quot;R$&quot;\ #,##0.00"/>
  </numFmts>
  <fonts count="33">
    <font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20"/>
      <color theme="1"/>
      <name val="Segoe UI Semibold"/>
      <charset val="134"/>
    </font>
    <font>
      <b/>
      <sz val="18"/>
      <color theme="0"/>
      <name val="Segoe UI Semibold"/>
      <charset val="134"/>
    </font>
    <font>
      <sz val="11"/>
      <color theme="1"/>
      <name val="Segoe UI Semibold"/>
      <charset val="134"/>
    </font>
    <font>
      <sz val="12"/>
      <color theme="1"/>
      <name val="Segoe UI"/>
      <charset val="134"/>
    </font>
    <font>
      <sz val="11"/>
      <color theme="1"/>
      <name val="Segoe UI"/>
      <charset val="134"/>
    </font>
    <font>
      <b/>
      <sz val="20"/>
      <color theme="0"/>
      <name val="Segoe UI Semibold"/>
      <charset val="134"/>
    </font>
    <font>
      <b/>
      <sz val="11"/>
      <color theme="1"/>
      <name val="Segoe UI"/>
      <charset val="134"/>
    </font>
    <font>
      <b/>
      <sz val="12"/>
      <color theme="1"/>
      <name val="Segoe UI"/>
      <charset val="134"/>
    </font>
    <font>
      <b/>
      <sz val="12"/>
      <color theme="0"/>
      <name val="Segoe UI Semibold"/>
      <charset val="134"/>
    </font>
    <font>
      <sz val="11"/>
      <color rgb="FF9C5700"/>
      <name val="Segoe UI Semibold"/>
      <charset val="134"/>
    </font>
    <font>
      <b/>
      <sz val="11"/>
      <color theme="1"/>
      <name val="Segoe UI Semibold"/>
      <charset val="134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medium">
        <color auto="1"/>
      </right>
      <top/>
      <bottom style="thin">
        <color theme="0" tint="-0.349986266670736"/>
      </bottom>
      <diagonal/>
    </border>
    <border>
      <left style="medium">
        <color auto="1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medium">
        <color auto="1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auto="1"/>
      </left>
      <right style="thin">
        <color theme="0" tint="-0.349986266670736"/>
      </right>
      <top style="thin">
        <color theme="0" tint="-0.349986266670736"/>
      </top>
      <bottom style="medium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medium">
        <color auto="1"/>
      </bottom>
      <diagonal/>
    </border>
    <border>
      <left style="thin">
        <color theme="0" tint="-0.349986266670736"/>
      </left>
      <right style="medium">
        <color auto="1"/>
      </right>
      <top style="thin">
        <color theme="0" tint="-0.349986266670736"/>
      </top>
      <bottom style="medium">
        <color auto="1"/>
      </bottom>
      <diagonal/>
    </border>
    <border>
      <left style="medium">
        <color auto="1"/>
      </left>
      <right style="hair">
        <color theme="0" tint="-0.14996795556505"/>
      </right>
      <top/>
      <bottom style="hair">
        <color theme="0" tint="-0.14996795556505"/>
      </bottom>
      <diagonal/>
    </border>
    <border>
      <left style="hair">
        <color theme="0" tint="-0.14996795556505"/>
      </left>
      <right style="hair">
        <color theme="0" tint="-0.14996795556505"/>
      </right>
      <top/>
      <bottom style="hair">
        <color theme="0" tint="-0.14996795556505"/>
      </bottom>
      <diagonal/>
    </border>
    <border>
      <left style="hair">
        <color theme="0" tint="-0.14996795556505"/>
      </left>
      <right style="medium">
        <color auto="1"/>
      </right>
      <top/>
      <bottom style="hair">
        <color theme="0" tint="-0.14996795556505"/>
      </bottom>
      <diagonal/>
    </border>
    <border>
      <left style="medium">
        <color auto="1"/>
      </left>
      <right style="hair">
        <color theme="0" tint="-0.14996795556505"/>
      </right>
      <top style="hair">
        <color theme="0" tint="-0.14996795556505"/>
      </top>
      <bottom style="hair">
        <color theme="0" tint="-0.14996795556505"/>
      </bottom>
      <diagonal/>
    </border>
    <border>
      <left style="hair">
        <color theme="0" tint="-0.14996795556505"/>
      </left>
      <right style="hair">
        <color theme="0" tint="-0.14996795556505"/>
      </right>
      <top style="hair">
        <color theme="0" tint="-0.14996795556505"/>
      </top>
      <bottom style="hair">
        <color theme="0" tint="-0.14996795556505"/>
      </bottom>
      <diagonal/>
    </border>
    <border>
      <left style="hair">
        <color theme="0" tint="-0.14996795556505"/>
      </left>
      <right style="medium">
        <color auto="1"/>
      </right>
      <top style="hair">
        <color theme="0" tint="-0.14996795556505"/>
      </top>
      <bottom style="hair">
        <color theme="0" tint="-0.14996795556505"/>
      </bottom>
      <diagonal/>
    </border>
    <border>
      <left style="medium">
        <color auto="1"/>
      </left>
      <right style="hair">
        <color theme="0" tint="-0.14996795556505"/>
      </right>
      <top style="hair">
        <color theme="0" tint="-0.14996795556505"/>
      </top>
      <bottom style="medium">
        <color auto="1"/>
      </bottom>
      <diagonal/>
    </border>
    <border>
      <left style="hair">
        <color theme="0" tint="-0.14996795556505"/>
      </left>
      <right style="hair">
        <color theme="0" tint="-0.14996795556505"/>
      </right>
      <top style="hair">
        <color theme="0" tint="-0.14996795556505"/>
      </top>
      <bottom style="medium">
        <color auto="1"/>
      </bottom>
      <diagonal/>
    </border>
    <border>
      <left style="hair">
        <color theme="0" tint="-0.14996795556505"/>
      </left>
      <right style="medium">
        <color auto="1"/>
      </right>
      <top style="hair">
        <color theme="0" tint="-0.14996795556505"/>
      </top>
      <bottom style="medium">
        <color auto="1"/>
      </bottom>
      <diagonal/>
    </border>
    <border>
      <left/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1" borderId="2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2" borderId="30" applyNumberFormat="0" applyAlignment="0" applyProtection="0">
      <alignment vertical="center"/>
    </xf>
    <xf numFmtId="0" fontId="24" fillId="13" borderId="31" applyNumberFormat="0" applyAlignment="0" applyProtection="0">
      <alignment vertical="center"/>
    </xf>
    <xf numFmtId="0" fontId="25" fillId="13" borderId="30" applyNumberFormat="0" applyAlignment="0" applyProtection="0">
      <alignment vertical="center"/>
    </xf>
    <xf numFmtId="0" fontId="26" fillId="14" borderId="32" applyNumberFormat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8" fillId="0" borderId="34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6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3" borderId="0" xfId="24"/>
    <xf numFmtId="9" fontId="2" fillId="3" borderId="0" xfId="3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0" fontId="0" fillId="5" borderId="0" xfId="0" applyFill="1"/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/>
    </xf>
    <xf numFmtId="0" fontId="4" fillId="6" borderId="7" xfId="0" applyFont="1" applyFill="1" applyBorder="1" applyAlignment="1">
      <alignment horizontal="right" vertical="center"/>
    </xf>
    <xf numFmtId="0" fontId="6" fillId="7" borderId="8" xfId="0" applyFont="1" applyFill="1" applyBorder="1" applyAlignment="1">
      <alignment horizontal="left" indent="3"/>
    </xf>
    <xf numFmtId="0" fontId="6" fillId="7" borderId="9" xfId="0" applyFont="1" applyFill="1" applyBorder="1" applyAlignment="1">
      <alignment horizontal="left" indent="3"/>
    </xf>
    <xf numFmtId="180" fontId="7" fillId="0" borderId="10" xfId="2" applyNumberFormat="1" applyFont="1" applyBorder="1" applyAlignment="1">
      <alignment horizontal="center"/>
    </xf>
    <xf numFmtId="0" fontId="6" fillId="7" borderId="11" xfId="0" applyFont="1" applyFill="1" applyBorder="1" applyAlignment="1">
      <alignment horizontal="left" indent="3"/>
    </xf>
    <xf numFmtId="0" fontId="6" fillId="7" borderId="12" xfId="0" applyFont="1" applyFill="1" applyBorder="1" applyAlignment="1">
      <alignment horizontal="left" indent="3"/>
    </xf>
    <xf numFmtId="10" fontId="7" fillId="0" borderId="13" xfId="0" applyNumberFormat="1" applyFont="1" applyBorder="1" applyAlignment="1">
      <alignment horizontal="center"/>
    </xf>
    <xf numFmtId="0" fontId="6" fillId="7" borderId="14" xfId="0" applyFont="1" applyFill="1" applyBorder="1" applyAlignment="1">
      <alignment horizontal="left" indent="3"/>
    </xf>
    <xf numFmtId="0" fontId="6" fillId="7" borderId="15" xfId="0" applyFont="1" applyFill="1" applyBorder="1" applyAlignment="1">
      <alignment horizontal="left" indent="3"/>
    </xf>
    <xf numFmtId="180" fontId="7" fillId="7" borderId="16" xfId="0" applyNumberFormat="1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180" fontId="9" fillId="0" borderId="10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0" fontId="9" fillId="0" borderId="13" xfId="0" applyNumberFormat="1" applyFont="1" applyBorder="1" applyAlignment="1">
      <alignment horizontal="center"/>
    </xf>
    <xf numFmtId="0" fontId="10" fillId="9" borderId="11" xfId="0" applyFont="1" applyFill="1" applyBorder="1" applyAlignment="1">
      <alignment horizontal="left" indent="3"/>
    </xf>
    <xf numFmtId="0" fontId="10" fillId="9" borderId="12" xfId="0" applyFont="1" applyFill="1" applyBorder="1" applyAlignment="1">
      <alignment horizontal="left" indent="3"/>
    </xf>
    <xf numFmtId="181" fontId="9" fillId="9" borderId="13" xfId="0" applyNumberFormat="1" applyFont="1" applyFill="1" applyBorder="1" applyAlignment="1">
      <alignment horizontal="center"/>
    </xf>
    <xf numFmtId="0" fontId="10" fillId="9" borderId="14" xfId="0" applyFont="1" applyFill="1" applyBorder="1" applyAlignment="1">
      <alignment horizontal="left" indent="3"/>
    </xf>
    <xf numFmtId="0" fontId="10" fillId="9" borderId="15" xfId="0" applyFont="1" applyFill="1" applyBorder="1" applyAlignment="1">
      <alignment horizontal="left" indent="3"/>
    </xf>
    <xf numFmtId="181" fontId="9" fillId="9" borderId="16" xfId="0" applyNumberFormat="1" applyFont="1" applyFill="1" applyBorder="1" applyAlignment="1">
      <alignment horizontal="center"/>
    </xf>
    <xf numFmtId="9" fontId="0" fillId="0" borderId="0" xfId="0" applyNumberFormat="1"/>
    <xf numFmtId="0" fontId="11" fillId="8" borderId="7" xfId="0" applyFont="1" applyFill="1" applyBorder="1" applyAlignment="1">
      <alignment horizontal="center" vertical="center"/>
    </xf>
    <xf numFmtId="0" fontId="1" fillId="0" borderId="0" xfId="0" applyFont="1"/>
    <xf numFmtId="0" fontId="6" fillId="9" borderId="17" xfId="0" applyFont="1" applyFill="1" applyBorder="1" applyAlignment="1">
      <alignment horizontal="left" indent="3"/>
    </xf>
    <xf numFmtId="180" fontId="7" fillId="9" borderId="18" xfId="0" applyNumberFormat="1" applyFont="1" applyFill="1" applyBorder="1" applyAlignment="1">
      <alignment horizontal="center"/>
    </xf>
    <xf numFmtId="180" fontId="7" fillId="9" borderId="19" xfId="0" applyNumberFormat="1" applyFont="1" applyFill="1" applyBorder="1" applyAlignment="1">
      <alignment horizontal="center"/>
    </xf>
    <xf numFmtId="0" fontId="6" fillId="9" borderId="20" xfId="0" applyFont="1" applyFill="1" applyBorder="1" applyAlignment="1">
      <alignment horizontal="left" indent="3"/>
    </xf>
    <xf numFmtId="180" fontId="7" fillId="9" borderId="21" xfId="0" applyNumberFormat="1" applyFont="1" applyFill="1" applyBorder="1" applyAlignment="1">
      <alignment horizontal="center"/>
    </xf>
    <xf numFmtId="180" fontId="7" fillId="9" borderId="22" xfId="0" applyNumberFormat="1" applyFont="1" applyFill="1" applyBorder="1" applyAlignment="1">
      <alignment horizontal="center"/>
    </xf>
    <xf numFmtId="0" fontId="6" fillId="9" borderId="23" xfId="0" applyFont="1" applyFill="1" applyBorder="1" applyAlignment="1">
      <alignment horizontal="left" indent="3"/>
    </xf>
    <xf numFmtId="180" fontId="7" fillId="9" borderId="24" xfId="0" applyNumberFormat="1" applyFont="1" applyFill="1" applyBorder="1" applyAlignment="1">
      <alignment horizontal="center"/>
    </xf>
    <xf numFmtId="180" fontId="7" fillId="9" borderId="25" xfId="0" applyNumberFormat="1" applyFont="1" applyFill="1" applyBorder="1" applyAlignment="1">
      <alignment horizontal="center"/>
    </xf>
    <xf numFmtId="0" fontId="12" fillId="3" borderId="0" xfId="24" applyFont="1"/>
    <xf numFmtId="0" fontId="12" fillId="3" borderId="0" xfId="24" applyFont="1" applyAlignment="1">
      <alignment horizontal="center"/>
    </xf>
    <xf numFmtId="0" fontId="9" fillId="7" borderId="0" xfId="0" applyFont="1" applyFill="1"/>
    <xf numFmtId="180" fontId="9" fillId="7" borderId="0" xfId="2" applyNumberFormat="1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180" fontId="7" fillId="7" borderId="0" xfId="0" applyNumberFormat="1" applyFont="1" applyFill="1" applyAlignment="1">
      <alignment horizontal="center"/>
    </xf>
    <xf numFmtId="0" fontId="9" fillId="10" borderId="0" xfId="0" applyFont="1" applyFill="1"/>
    <xf numFmtId="180" fontId="9" fillId="10" borderId="0" xfId="0" applyNumberFormat="1" applyFont="1" applyFill="1" applyAlignment="1">
      <alignment horizontal="center"/>
    </xf>
    <xf numFmtId="0" fontId="0" fillId="0" borderId="26" xfId="0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mruColors>
      <color rgb="00E2BD7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8c5d4f-38d3-4ffb-8ee7-086bd13b222b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316865</xdr:colOff>
      <xdr:row>42</xdr:row>
      <xdr:rowOff>97155</xdr:rowOff>
    </xdr:from>
    <xdr:to>
      <xdr:col>4</xdr:col>
      <xdr:colOff>8890</xdr:colOff>
      <xdr:row>55</xdr:row>
      <xdr:rowOff>130810</xdr:rowOff>
    </xdr:to>
    <xdr:graphicFrame>
      <xdr:nvGraphicFramePr>
        <xdr:cNvPr id="6" name="Gráfico 5"/>
        <xdr:cNvGraphicFramePr/>
      </xdr:nvGraphicFramePr>
      <xdr:xfrm>
        <a:off x="316865" y="9164955"/>
        <a:ext cx="6147435" cy="2262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XFD42"/>
  <sheetViews>
    <sheetView showGridLines="0" tabSelected="1" zoomScale="110" zoomScaleNormal="110" topLeftCell="A37" workbookViewId="0">
      <selection activeCell="C32" sqref="C32"/>
    </sheetView>
  </sheetViews>
  <sheetFormatPr defaultColWidth="0" defaultRowHeight="13.5"/>
  <cols>
    <col min="1" max="1" width="5.45" customWidth="1"/>
    <col min="2" max="2" width="46.8166666666667" customWidth="1"/>
    <col min="3" max="3" width="17.45" customWidth="1"/>
    <col min="4" max="4" width="15" customWidth="1"/>
    <col min="5" max="8" width="3.54166666666667" customWidth="1"/>
    <col min="9" max="16384" width="8.725" hidden="1"/>
  </cols>
  <sheetData>
    <row r="3" spans="1:16384">
      <c r="A3" s="13"/>
      <c r="B3" s="13"/>
      <c r="C3" s="13"/>
      <c r="D3" s="13"/>
      <c r="E3" s="13"/>
      <c r="XFD3" s="63"/>
    </row>
    <row r="4" ht="14.25" spans="1:5">
      <c r="A4" s="13"/>
      <c r="B4" s="13"/>
      <c r="C4" s="13"/>
      <c r="D4" s="13"/>
      <c r="E4" s="13"/>
    </row>
    <row r="5" ht="31.5" spans="1:5">
      <c r="A5" s="13"/>
      <c r="B5" s="14" t="s">
        <v>0</v>
      </c>
      <c r="C5" s="15"/>
      <c r="D5" s="16"/>
      <c r="E5" s="13"/>
    </row>
    <row r="6" spans="1:5">
      <c r="A6" s="13"/>
      <c r="B6" s="13"/>
      <c r="C6" s="13"/>
      <c r="D6" s="13"/>
      <c r="E6" s="13"/>
    </row>
    <row r="7" spans="1:5">
      <c r="A7" s="13"/>
      <c r="B7" s="13"/>
      <c r="C7" s="13"/>
      <c r="D7" s="13"/>
      <c r="E7" s="13"/>
    </row>
    <row r="8" spans="1:5">
      <c r="A8" s="13"/>
      <c r="B8" s="13"/>
      <c r="C8" s="13"/>
      <c r="D8" s="13"/>
      <c r="E8" s="13"/>
    </row>
    <row r="10" ht="14.25"/>
    <row r="11" ht="26.25" spans="2:4">
      <c r="B11" s="17" t="s">
        <v>1</v>
      </c>
      <c r="C11" s="18"/>
      <c r="D11" s="19"/>
    </row>
    <row r="12" ht="17.25" spans="2:4">
      <c r="B12" s="20" t="s">
        <v>2</v>
      </c>
      <c r="C12" s="21"/>
      <c r="D12" s="22">
        <v>5500</v>
      </c>
    </row>
    <row r="13" ht="17.25" spans="2:4">
      <c r="B13" s="23" t="s">
        <v>3</v>
      </c>
      <c r="C13" s="24"/>
      <c r="D13" s="25">
        <v>0.006</v>
      </c>
    </row>
    <row r="14" ht="18" spans="2:4">
      <c r="B14" s="26" t="s">
        <v>4</v>
      </c>
      <c r="C14" s="27"/>
      <c r="D14" s="28">
        <f>D12*30%</f>
        <v>1650</v>
      </c>
    </row>
    <row r="15" ht="14.25"/>
    <row r="16" ht="28.5" customHeight="1" spans="2:4">
      <c r="B16" s="29" t="s">
        <v>5</v>
      </c>
      <c r="C16" s="30"/>
      <c r="D16" s="31"/>
    </row>
    <row r="17" ht="17.25" spans="2:4">
      <c r="B17" s="20" t="s">
        <v>6</v>
      </c>
      <c r="C17" s="21"/>
      <c r="D17" s="32">
        <v>650</v>
      </c>
    </row>
    <row r="18" ht="17.25" spans="2:4">
      <c r="B18" s="23" t="s">
        <v>7</v>
      </c>
      <c r="C18" s="24"/>
      <c r="D18" s="33">
        <v>5</v>
      </c>
    </row>
    <row r="19" ht="17.25" spans="2:4">
      <c r="B19" s="23" t="s">
        <v>8</v>
      </c>
      <c r="C19" s="24"/>
      <c r="D19" s="34">
        <v>0.01079</v>
      </c>
    </row>
    <row r="20" ht="17.25" spans="2:4">
      <c r="B20" s="35" t="s">
        <v>9</v>
      </c>
      <c r="C20" s="36"/>
      <c r="D20" s="37">
        <f>FV(taxa_mensal,qtd_anos*12,aporte*-1)</f>
        <v>54454.9940990168</v>
      </c>
    </row>
    <row r="21" ht="18" spans="2:6">
      <c r="B21" s="38" t="s">
        <v>10</v>
      </c>
      <c r="C21" s="39"/>
      <c r="D21" s="40">
        <f>patrimonio*rendimento_carteira</f>
        <v>326.729964594101</v>
      </c>
      <c r="F21" s="41"/>
    </row>
    <row r="22" ht="14.25"/>
    <row r="23" ht="30.75" spans="2:4">
      <c r="B23" s="29" t="s">
        <v>11</v>
      </c>
      <c r="C23" s="30"/>
      <c r="D23" s="42" t="s">
        <v>12</v>
      </c>
    </row>
    <row r="24" ht="17.25" spans="1:4">
      <c r="A24" s="43">
        <v>2</v>
      </c>
      <c r="B24" s="44" t="s">
        <v>13</v>
      </c>
      <c r="C24" s="45">
        <f>FV($D$19,$A24*12,$D$17*-1)</f>
        <v>17697.9577434693</v>
      </c>
      <c r="D24" s="46">
        <f>C24*rendimento_carteira</f>
        <v>106.187746460816</v>
      </c>
    </row>
    <row r="25" ht="17.25" spans="1:4">
      <c r="A25" s="43">
        <v>5</v>
      </c>
      <c r="B25" s="47" t="s">
        <v>14</v>
      </c>
      <c r="C25" s="48">
        <f>FV($D$19,$A25*12,$D$17*-1)</f>
        <v>54454.9940990168</v>
      </c>
      <c r="D25" s="49">
        <f>C25*rendimento_carteira</f>
        <v>326.729964594101</v>
      </c>
    </row>
    <row r="26" ht="17.25" spans="1:4">
      <c r="A26" s="43">
        <v>10</v>
      </c>
      <c r="B26" s="47" t="s">
        <v>15</v>
      </c>
      <c r="C26" s="48">
        <f>FV($D$19,$A26*12,$D$17*-1)</f>
        <v>158134.738144611</v>
      </c>
      <c r="D26" s="49">
        <f>C26*rendimento_carteira</f>
        <v>948.808428867667</v>
      </c>
    </row>
    <row r="27" ht="17.25" spans="1:4">
      <c r="A27" s="43">
        <v>20</v>
      </c>
      <c r="B27" s="47" t="s">
        <v>16</v>
      </c>
      <c r="C27" s="48">
        <f>FV($D$19,$A27*12,$D$17*-1)</f>
        <v>731378.960063097</v>
      </c>
      <c r="D27" s="49">
        <f>C27*rendimento_carteira</f>
        <v>4388.27376037858</v>
      </c>
    </row>
    <row r="28" ht="18" spans="1:4">
      <c r="A28" s="43">
        <v>30</v>
      </c>
      <c r="B28" s="50" t="s">
        <v>17</v>
      </c>
      <c r="C28" s="51">
        <f>FV($D$19,$A28*12,$D$17*-1)</f>
        <v>2809410.27575304</v>
      </c>
      <c r="D28" s="52">
        <f>C28*rendimento_carteira</f>
        <v>16856.4616545182</v>
      </c>
    </row>
    <row r="32" ht="16.5" spans="2:4">
      <c r="B32" s="53" t="s">
        <v>18</v>
      </c>
      <c r="C32" s="54" t="s">
        <v>19</v>
      </c>
      <c r="D32" s="53"/>
    </row>
    <row r="33" ht="16.5" spans="2:4">
      <c r="B33" s="55" t="s">
        <v>20</v>
      </c>
      <c r="C33" s="56">
        <f>aporte</f>
        <v>650</v>
      </c>
      <c r="D33" s="55"/>
    </row>
    <row r="35" ht="16.5" spans="2:4">
      <c r="B35" s="57" t="s">
        <v>21</v>
      </c>
      <c r="C35" s="57" t="s">
        <v>22</v>
      </c>
      <c r="D35" s="57" t="s">
        <v>23</v>
      </c>
    </row>
    <row r="36" ht="16.5" spans="2:4">
      <c r="B36" s="58" t="s">
        <v>24</v>
      </c>
      <c r="C36" s="59">
        <f>VLOOKUP($C$32&amp;"-"&amp;B36,Planilha2!$A:$D,4,FALSE)</f>
        <v>0.3</v>
      </c>
      <c r="D36" s="60">
        <f>C36*$C$33</f>
        <v>195</v>
      </c>
    </row>
    <row r="37" ht="16.5" spans="2:4">
      <c r="B37" s="58" t="s">
        <v>25</v>
      </c>
      <c r="C37" s="59">
        <f>VLOOKUP($C$32&amp;"-"&amp;B37,Planilha2!$A:$D,4,FALSE)</f>
        <v>0.5</v>
      </c>
      <c r="D37" s="60">
        <f t="shared" ref="D37:D41" si="0">C37*$C$33</f>
        <v>325</v>
      </c>
    </row>
    <row r="38" ht="16.5" spans="2:4">
      <c r="B38" s="58" t="s">
        <v>26</v>
      </c>
      <c r="C38" s="59">
        <f>VLOOKUP($C$32&amp;"-"&amp;B38,Planilha2!$A:$D,4,FALSE)</f>
        <v>0.1</v>
      </c>
      <c r="D38" s="60">
        <f t="shared" si="0"/>
        <v>65</v>
      </c>
    </row>
    <row r="39" ht="16.5" spans="2:4">
      <c r="B39" s="58" t="s">
        <v>27</v>
      </c>
      <c r="C39" s="59">
        <f>VLOOKUP($C$32&amp;"-"&amp;B39,Planilha2!$A:$D,4,FALSE)</f>
        <v>0.1</v>
      </c>
      <c r="D39" s="60">
        <f t="shared" si="0"/>
        <v>65</v>
      </c>
    </row>
    <row r="40" ht="16.5" spans="2:4">
      <c r="B40" s="58" t="s">
        <v>28</v>
      </c>
      <c r="C40" s="59">
        <f>VLOOKUP($C$32&amp;"-"&amp;B40,Planilha2!$A:$D,4,FALSE)</f>
        <v>0</v>
      </c>
      <c r="D40" s="60">
        <f t="shared" si="0"/>
        <v>0</v>
      </c>
    </row>
    <row r="41" ht="16.5" spans="2:4">
      <c r="B41" s="58" t="s">
        <v>29</v>
      </c>
      <c r="C41" s="59">
        <f>VLOOKUP($C$32&amp;"-"&amp;B41,Planilha2!$A:$D,4,FALSE)</f>
        <v>0</v>
      </c>
      <c r="D41" s="60">
        <f t="shared" si="0"/>
        <v>0</v>
      </c>
    </row>
    <row r="42" ht="16.5" spans="2:4">
      <c r="B42" s="61"/>
      <c r="C42" s="61"/>
      <c r="D42" s="62">
        <f>SUM(D36:D41)</f>
        <v>650</v>
      </c>
    </row>
  </sheetData>
  <mergeCells count="11">
    <mergeCell ref="B5:D5"/>
    <mergeCell ref="B12:C12"/>
    <mergeCell ref="B13:C13"/>
    <mergeCell ref="B14:C14"/>
    <mergeCell ref="B16:D16"/>
    <mergeCell ref="B17:C17"/>
    <mergeCell ref="B18:C18"/>
    <mergeCell ref="B19:C19"/>
    <mergeCell ref="B20:C20"/>
    <mergeCell ref="B21:C21"/>
    <mergeCell ref="B23:C23"/>
  </mergeCells>
  <dataValidations count="1">
    <dataValidation type="list" allowBlank="1" showInputMessage="1" showErrorMessage="1" sqref="C32">
      <formula1>"Conservador, Moderado, Agressivo"</formula1>
    </dataValidation>
  </dataValidations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1"/>
  <sheetViews>
    <sheetView showGridLines="0" zoomScale="115" zoomScaleNormal="115" workbookViewId="0">
      <selection activeCell="D4" sqref="D4"/>
    </sheetView>
  </sheetViews>
  <sheetFormatPr defaultColWidth="9" defaultRowHeight="13.5" outlineLevelCol="7"/>
  <cols>
    <col min="1" max="1" width="29.1833333333333" customWidth="1"/>
    <col min="2" max="2" width="11.5416666666667" customWidth="1"/>
    <col min="3" max="3" width="17.725" customWidth="1"/>
    <col min="7" max="7" width="15.3666666666667" customWidth="1"/>
  </cols>
  <sheetData>
    <row r="2" spans="1:4">
      <c r="A2" s="1" t="s">
        <v>30</v>
      </c>
      <c r="B2" s="1" t="s">
        <v>18</v>
      </c>
      <c r="C2" s="2" t="s">
        <v>21</v>
      </c>
      <c r="D2" s="2" t="s">
        <v>31</v>
      </c>
    </row>
    <row r="3" spans="1:8">
      <c r="A3" t="str">
        <f>B3&amp;"-"&amp;C3</f>
        <v>Conservador-PAPEL</v>
      </c>
      <c r="B3" t="s">
        <v>19</v>
      </c>
      <c r="C3" s="3" t="s">
        <v>24</v>
      </c>
      <c r="D3" s="4">
        <v>0.3</v>
      </c>
      <c r="H3" t="s">
        <v>31</v>
      </c>
    </row>
    <row r="4" spans="1:8">
      <c r="A4" t="str">
        <f t="shared" ref="A4:A20" si="0">B4&amp;"-"&amp;C4</f>
        <v>Conservador-TIJOLO</v>
      </c>
      <c r="B4" t="s">
        <v>19</v>
      </c>
      <c r="C4" s="3" t="s">
        <v>25</v>
      </c>
      <c r="D4" s="4">
        <v>0.5</v>
      </c>
      <c r="G4" s="5" t="s">
        <v>32</v>
      </c>
      <c r="H4" s="6">
        <f>VLOOKUP(G4,$A:$D,4,FALSE)</f>
        <v>0.35</v>
      </c>
    </row>
    <row r="5" spans="1:4">
      <c r="A5" t="str">
        <f t="shared" si="0"/>
        <v>Conservador-HÍBRIDOS</v>
      </c>
      <c r="B5" t="s">
        <v>19</v>
      </c>
      <c r="C5" s="3" t="s">
        <v>26</v>
      </c>
      <c r="D5" s="4">
        <v>0.1</v>
      </c>
    </row>
    <row r="6" spans="1:4">
      <c r="A6" t="str">
        <f t="shared" si="0"/>
        <v>Conservador-FOFs</v>
      </c>
      <c r="B6" t="s">
        <v>19</v>
      </c>
      <c r="C6" s="3" t="s">
        <v>27</v>
      </c>
      <c r="D6" s="4">
        <v>0.1</v>
      </c>
    </row>
    <row r="7" spans="1:4">
      <c r="A7" t="str">
        <f t="shared" si="0"/>
        <v>Conservador-DESENVOLVIMENTO</v>
      </c>
      <c r="B7" t="s">
        <v>19</v>
      </c>
      <c r="C7" s="3" t="s">
        <v>28</v>
      </c>
      <c r="D7" s="4">
        <v>0</v>
      </c>
    </row>
    <row r="8" ht="14.25" spans="1:4">
      <c r="A8" s="7" t="str">
        <f t="shared" si="0"/>
        <v>Conservador-HOTELARIAS</v>
      </c>
      <c r="B8" s="7" t="s">
        <v>19</v>
      </c>
      <c r="C8" s="8" t="s">
        <v>29</v>
      </c>
      <c r="D8" s="9">
        <v>0</v>
      </c>
    </row>
    <row r="9" spans="1:4">
      <c r="A9" t="str">
        <f t="shared" si="0"/>
        <v>Moderado-PAPEL</v>
      </c>
      <c r="B9" t="s">
        <v>33</v>
      </c>
      <c r="C9" s="3" t="s">
        <v>24</v>
      </c>
      <c r="D9" s="4">
        <v>0.32</v>
      </c>
    </row>
    <row r="10" spans="1:4">
      <c r="A10" s="10" t="str">
        <f t="shared" si="0"/>
        <v>Moderado-TIJOLO</v>
      </c>
      <c r="B10" s="10" t="s">
        <v>33</v>
      </c>
      <c r="C10" s="11" t="s">
        <v>25</v>
      </c>
      <c r="D10" s="12">
        <v>0.35</v>
      </c>
    </row>
    <row r="11" spans="1:4">
      <c r="A11" t="str">
        <f t="shared" si="0"/>
        <v>Moderado-HÍBRIDOS</v>
      </c>
      <c r="B11" t="s">
        <v>33</v>
      </c>
      <c r="C11" s="3" t="s">
        <v>26</v>
      </c>
      <c r="D11" s="4">
        <v>0.08</v>
      </c>
    </row>
    <row r="12" spans="1:4">
      <c r="A12" t="str">
        <f t="shared" si="0"/>
        <v>Moderado-FOFs</v>
      </c>
      <c r="B12" t="s">
        <v>33</v>
      </c>
      <c r="C12" s="3" t="s">
        <v>27</v>
      </c>
      <c r="D12" s="4">
        <v>0.05</v>
      </c>
    </row>
    <row r="13" spans="1:4">
      <c r="A13" t="str">
        <f t="shared" si="0"/>
        <v>Moderado-DESENVOLVIMENTO</v>
      </c>
      <c r="B13" t="s">
        <v>33</v>
      </c>
      <c r="C13" s="3" t="s">
        <v>28</v>
      </c>
      <c r="D13" s="4">
        <v>0.1</v>
      </c>
    </row>
    <row r="14" ht="14.25" spans="1:4">
      <c r="A14" s="7" t="str">
        <f t="shared" si="0"/>
        <v>Moderado-HOTELARIAS</v>
      </c>
      <c r="B14" s="7" t="s">
        <v>33</v>
      </c>
      <c r="C14" s="8" t="s">
        <v>29</v>
      </c>
      <c r="D14" s="9">
        <v>0.1</v>
      </c>
    </row>
    <row r="15" spans="1:4">
      <c r="A15" t="str">
        <f t="shared" si="0"/>
        <v>Agressivo-PAPEL</v>
      </c>
      <c r="B15" t="s">
        <v>34</v>
      </c>
      <c r="C15" s="3" t="s">
        <v>24</v>
      </c>
      <c r="D15" s="4">
        <v>0.5</v>
      </c>
    </row>
    <row r="16" spans="1:4">
      <c r="A16" t="str">
        <f t="shared" si="0"/>
        <v>Agressivo-TIJOLO</v>
      </c>
      <c r="B16" t="s">
        <v>34</v>
      </c>
      <c r="C16" s="3" t="s">
        <v>25</v>
      </c>
      <c r="D16" s="4">
        <v>0.1</v>
      </c>
    </row>
    <row r="17" spans="1:4">
      <c r="A17" t="str">
        <f t="shared" si="0"/>
        <v>Agressivo-HÍBRIDOS</v>
      </c>
      <c r="B17" t="s">
        <v>34</v>
      </c>
      <c r="C17" s="3" t="s">
        <v>26</v>
      </c>
      <c r="D17" s="4">
        <v>0.05</v>
      </c>
    </row>
    <row r="18" spans="1:4">
      <c r="A18" t="str">
        <f t="shared" si="0"/>
        <v>Agressivo-FOFs</v>
      </c>
      <c r="B18" t="s">
        <v>34</v>
      </c>
      <c r="C18" s="3" t="s">
        <v>27</v>
      </c>
      <c r="D18" s="4">
        <v>0.05</v>
      </c>
    </row>
    <row r="19" spans="1:4">
      <c r="A19" t="str">
        <f t="shared" si="0"/>
        <v>Agressivo-DESENVOLVIMENTO</v>
      </c>
      <c r="B19" t="s">
        <v>34</v>
      </c>
      <c r="C19" s="3" t="s">
        <v>28</v>
      </c>
      <c r="D19" s="4">
        <v>0.2</v>
      </c>
    </row>
    <row r="20" spans="1:4">
      <c r="A20" t="str">
        <f t="shared" si="0"/>
        <v>Agressivo-HOTELARIAS</v>
      </c>
      <c r="B20" t="s">
        <v>34</v>
      </c>
      <c r="C20" s="3" t="s">
        <v>29</v>
      </c>
      <c r="D20" s="4">
        <v>0.1</v>
      </c>
    </row>
    <row r="21" spans="4:4">
      <c r="D21" s="3"/>
    </row>
  </sheetData>
  <pageMargins left="0.511811024" right="0.511811024" top="0.787401575" bottom="0.787401575" header="0.31496062" footer="0.31496062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2BBC473-00BC-48E4-BFA3-FE8E2B1F0015}">
  <ds:schemaRefs/>
</ds:datastoreItem>
</file>

<file path=customXml/itemProps2.xml><?xml version="1.0" encoding="utf-8"?>
<ds:datastoreItem xmlns:ds="http://schemas.openxmlformats.org/officeDocument/2006/customXml" ds:itemID="{C32110DE-3D77-470C-9CED-65521C30E3F6}">
  <ds:schemaRefs/>
</ds:datastoreItem>
</file>

<file path=customXml/itemProps3.xml><?xml version="1.0" encoding="utf-8"?>
<ds:datastoreItem xmlns:ds="http://schemas.openxmlformats.org/officeDocument/2006/customXml" ds:itemID="{54D0D6DD-E6DB-45C8-8F90-E314C090C08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rarne</cp:lastModifiedBy>
  <dcterms:created xsi:type="dcterms:W3CDTF">2025-04-16T18:38:00Z</dcterms:created>
  <dcterms:modified xsi:type="dcterms:W3CDTF">2026-02-14T14:10:09Z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ICV">
    <vt:lpwstr>909894F24A9F41AA8102706EE6D1DD87_12</vt:lpwstr>
  </property>
  <property fmtid="{D5CDD505-2E9C-101B-9397-08002B2CF9AE}" pid="4" name="KSOProductBuildVer">
    <vt:lpwstr>1046-12.2.0.23196</vt:lpwstr>
  </property>
</Properties>
</file>